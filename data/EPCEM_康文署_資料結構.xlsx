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工種代碼" sheetId="2" state="visible" r:id="rId2"/>
    <sheet xmlns:r="http://schemas.openxmlformats.org/officeDocument/2006/relationships" name="場地" sheetId="3" state="visible" r:id="rId3"/>
    <sheet xmlns:r="http://schemas.openxmlformats.org/officeDocument/2006/relationships" name="隊伍" sheetId="4" state="visible" r:id="rId4"/>
    <sheet xmlns:r="http://schemas.openxmlformats.org/officeDocument/2006/relationships" name="工單示範" sheetId="5" state="visible" r:id="rId5"/>
    <sheet xmlns:r="http://schemas.openxmlformats.org/officeDocument/2006/relationships" name="每日進度" sheetId="6" state="visible" r:id="rId6"/>
    <sheet xmlns:r="http://schemas.openxmlformats.org/officeDocument/2006/relationships" name="表現指標" sheetId="7" state="visible" r:id="rId7"/>
    <sheet xmlns:r="http://schemas.openxmlformats.org/officeDocument/2006/relationships" name="匯出欄位" sheetId="8" state="visible" r:id="rId8"/>
  </sheets>
  <definedNames>
    <definedName name="_xlnm._FilterDatabase" localSheetId="1" hidden="1">'工種代碼'!$A$1:$H$17</definedName>
    <definedName name="_xlnm._FilterDatabase" localSheetId="4" hidden="1">'工單示範'!$A$1:$P$8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b val="1"/>
      <color rgb="001B5E20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9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隊伍工單狀態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'每日進度'!D1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'每日進度'!$B$2:$B$5</f>
            </numRef>
          </cat>
          <val>
            <numRef>
              <f>'每日進度'!$D$2:$D$5</f>
            </numRef>
          </val>
        </ser>
        <ser>
          <idx val="1"/>
          <order val="1"/>
          <tx>
            <strRef>
              <f>'每日進度'!E1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'每日進度'!$B$2:$B$5</f>
            </numRef>
          </cat>
          <val>
            <numRef>
              <f>'每日進度'!$E$2:$E$5</f>
            </numRef>
          </val>
        </ser>
        <ser>
          <idx val="2"/>
          <order val="2"/>
          <tx>
            <strRef>
              <f>'每日進度'!F1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'每日進度'!$B$2:$B$5</f>
            </numRef>
          </cat>
          <val>
            <numRef>
              <f>'每日進度'!$F$2:$F$5</f>
            </numRef>
          </val>
        </ser>
        <ser>
          <idx val="3"/>
          <order val="3"/>
          <tx>
            <strRef>
              <f>'每日進度'!G1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'每日進度'!$B$2:$B$5</f>
            </numRef>
          </cat>
          <val>
            <numRef>
              <f>'每日進度'!$G$2:$G$5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單數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EPCEM 資料結構 — 康文署園藝／樹木保養合約（方案 B）</t>
        </is>
      </c>
    </row>
    <row r="3">
      <c r="A3" s="2" t="inlineStr">
        <is>
          <t>用途</t>
        </is>
      </c>
    </row>
    <row r="4" ht="48" customHeight="1">
      <c r="A4" s="3" t="inlineStr">
        <is>
          <t>此工作簿是 PWA 後端／Excel 匯出的欄位字典與示範數據。前線用手機提交，辦公室用本表或由系統匯出後對康文署「附相片工作報告」及月度表現評核。</t>
        </is>
      </c>
    </row>
    <row r="5"/>
    <row r="6"/>
    <row r="8">
      <c r="A8" s="4" t="inlineStr">
        <is>
          <t>項目</t>
        </is>
      </c>
      <c r="B8" s="4" t="inlineStr">
        <is>
          <t>內容</t>
        </is>
      </c>
    </row>
    <row r="9" ht="32" customHeight="1">
      <c r="A9" s="5" t="inlineStr">
        <is>
          <t>對象部門</t>
        </is>
      </c>
      <c r="B9" s="6" t="inlineStr">
        <is>
          <t>康樂及文化事務署（LCSD）外判園藝保養／樹木護理合約</t>
        </is>
      </c>
    </row>
    <row r="10" ht="32" customHeight="1">
      <c r="A10" s="5" t="inlineStr">
        <is>
          <t>合約常見工作</t>
        </is>
      </c>
      <c r="B10" s="6" t="inlineStr">
        <is>
          <t>灌溉、除草、修剪喬木／灌木、施肥、病蟲害、補種、巡查、颱風後清理、投訴跟進、OVT 特別護理</t>
        </is>
      </c>
    </row>
    <row r="11" ht="32" customHeight="1">
      <c r="A11" s="5" t="inlineStr">
        <is>
          <t>署方監察重點</t>
        </is>
      </c>
      <c r="B11" s="6" t="inlineStr">
        <is>
          <t>工作報告須附相片；定期／突擊巡查；每月表現評核；失責可扣月費</t>
        </is>
      </c>
    </row>
    <row r="12" ht="32" customHeight="1">
      <c r="A12" s="5" t="inlineStr">
        <is>
          <t>本系統價值</t>
        </is>
      </c>
      <c r="B12" s="6" t="inlineStr">
        <is>
          <t>把相片、GPS、時間、數量鎖在同一工單，方便對標書次數／數量，減少 WhatsApp 散相</t>
        </is>
      </c>
    </row>
    <row r="13" ht="32" customHeight="1">
      <c r="A13" s="5" t="inlineStr">
        <is>
          <t>工作表</t>
        </is>
      </c>
      <c r="B13" s="6" t="inlineStr">
        <is>
          <t>工種代碼｜場地｜隊伍｜工單示範｜每日進度｜表現指標｜匯出欄位</t>
        </is>
      </c>
    </row>
    <row r="14" ht="32" customHeight="1"/>
    <row r="15" ht="32" customHeight="1"/>
    <row r="17">
      <c r="A17" s="7" t="inlineStr">
        <is>
          <t>示範數據為虛構，僅供結構試用。正式使用請換成貴司合約編號、場地清單及隊伍。</t>
        </is>
      </c>
    </row>
  </sheetData>
  <mergeCells count="2">
    <mergeCell ref="A1:B1"/>
    <mergeCell ref="A4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36" customWidth="1" min="6" max="6"/>
    <col width="14" customWidth="1" min="7" max="7"/>
    <col width="14" customWidth="1" min="8" max="8"/>
  </cols>
  <sheetData>
    <row r="1">
      <c r="A1" s="8" t="inlineStr">
        <is>
          <t>代碼</t>
        </is>
      </c>
      <c r="B1" s="8" t="inlineStr">
        <is>
          <t>中文名稱</t>
        </is>
      </c>
      <c r="C1" s="8" t="inlineStr">
        <is>
          <t>英文</t>
        </is>
      </c>
      <c r="D1" s="8" t="inlineStr">
        <is>
          <t>類別</t>
        </is>
      </c>
      <c r="E1" s="8" t="inlineStr">
        <is>
          <t>常用單位</t>
        </is>
      </c>
      <c r="F1" s="8" t="inlineStr">
        <is>
          <t>康文常見頻率／備註</t>
        </is>
      </c>
      <c r="G1" s="8" t="inlineStr">
        <is>
          <t>需前後相片</t>
        </is>
      </c>
      <c r="H1" s="8" t="inlineStr">
        <is>
          <t>需樹藝監督</t>
        </is>
      </c>
    </row>
    <row r="2">
      <c r="A2" s="9" t="inlineStr">
        <is>
          <t>WAT</t>
        </is>
      </c>
      <c r="B2" s="9" t="inlineStr">
        <is>
          <t>灌溉</t>
        </is>
      </c>
      <c r="C2" s="9" t="inlineStr">
        <is>
          <t>Watering</t>
        </is>
      </c>
      <c r="D2" s="9" t="inlineStr">
        <is>
          <t>日常保養</t>
        </is>
      </c>
      <c r="E2" s="9" t="inlineStr">
        <is>
          <t>次／場地</t>
        </is>
      </c>
      <c r="F2" s="9" t="inlineStr">
        <is>
          <t>視天氣；新栽最少每月</t>
        </is>
      </c>
      <c r="G2" s="9" t="inlineStr">
        <is>
          <t>否</t>
        </is>
      </c>
      <c r="H2" s="9" t="inlineStr">
        <is>
          <t>否</t>
        </is>
      </c>
    </row>
    <row r="3">
      <c r="A3" s="6" t="inlineStr">
        <is>
          <t>WEED</t>
        </is>
      </c>
      <c r="B3" s="6" t="inlineStr">
        <is>
          <t>除草／清雜草</t>
        </is>
      </c>
      <c r="C3" s="6" t="inlineStr">
        <is>
          <t>Weeding / undergrowth</t>
        </is>
      </c>
      <c r="D3" s="6" t="inlineStr">
        <is>
          <t>日常保養</t>
        </is>
      </c>
      <c r="E3" s="6" t="inlineStr">
        <is>
          <t>m² 或 次</t>
        </is>
      </c>
      <c r="F3" s="6" t="inlineStr">
        <is>
          <t>園藝保養及清雜草合約常見計量</t>
        </is>
      </c>
      <c r="G3" s="10" t="inlineStr">
        <is>
          <t>是</t>
        </is>
      </c>
      <c r="H3" s="6" t="inlineStr">
        <is>
          <t>否</t>
        </is>
      </c>
    </row>
    <row r="4">
      <c r="A4" s="9" t="inlineStr">
        <is>
          <t>PRN-S</t>
        </is>
      </c>
      <c r="B4" s="9" t="inlineStr">
        <is>
          <t>灌木／地被修剪</t>
        </is>
      </c>
      <c r="C4" s="9" t="inlineStr">
        <is>
          <t>Shrub / groundcover pruning</t>
        </is>
      </c>
      <c r="D4" s="9" t="inlineStr">
        <is>
          <t>日常保養</t>
        </is>
      </c>
      <c r="E4" s="9" t="inlineStr">
        <is>
          <t>m² 或 株</t>
        </is>
      </c>
      <c r="F4" s="9" t="inlineStr">
        <is>
          <t>每 1–2 個月按品種</t>
        </is>
      </c>
      <c r="G4" s="10" t="inlineStr">
        <is>
          <t>是</t>
        </is>
      </c>
      <c r="H4" s="9" t="inlineStr">
        <is>
          <t>否</t>
        </is>
      </c>
    </row>
    <row r="5">
      <c r="A5" s="6" t="inlineStr">
        <is>
          <t>PRN-T</t>
        </is>
      </c>
      <c r="B5" s="6" t="inlineStr">
        <is>
          <t>喬木修剪</t>
        </is>
      </c>
      <c r="C5" s="6" t="inlineStr">
        <is>
          <t>Tree pruning</t>
        </is>
      </c>
      <c r="D5" s="6" t="inlineStr">
        <is>
          <t>樹木工程</t>
        </is>
      </c>
      <c r="E5" s="6" t="inlineStr">
        <is>
          <t>株</t>
        </is>
      </c>
      <c r="F5" s="6" t="inlineStr">
        <is>
          <t>枯枝、阻路、過密樹冠；需適當資歷</t>
        </is>
      </c>
      <c r="G5" s="10" t="inlineStr">
        <is>
          <t>是</t>
        </is>
      </c>
      <c r="H5" s="11" t="inlineStr">
        <is>
          <t>是</t>
        </is>
      </c>
    </row>
    <row r="6">
      <c r="A6" s="9" t="inlineStr">
        <is>
          <t>FERT</t>
        </is>
      </c>
      <c r="B6" s="9" t="inlineStr">
        <is>
          <t>施肥</t>
        </is>
      </c>
      <c r="C6" s="9" t="inlineStr">
        <is>
          <t>Fertilising</t>
        </is>
      </c>
      <c r="D6" s="9" t="inlineStr">
        <is>
          <t>日常保養</t>
        </is>
      </c>
      <c r="E6" s="9" t="inlineStr">
        <is>
          <t>株 或 m²</t>
        </is>
      </c>
      <c r="F6" s="9" t="inlineStr">
        <is>
          <t>按季節及品種</t>
        </is>
      </c>
      <c r="G6" s="9" t="inlineStr">
        <is>
          <t>否</t>
        </is>
      </c>
      <c r="H6" s="9" t="inlineStr">
        <is>
          <t>否</t>
        </is>
      </c>
    </row>
    <row r="7">
      <c r="A7" s="6" t="inlineStr">
        <is>
          <t>PEST</t>
        </is>
      </c>
      <c r="B7" s="6" t="inlineStr">
        <is>
          <t>病蟲害防治</t>
        </is>
      </c>
      <c r="C7" s="6" t="inlineStr">
        <is>
          <t>Pest &amp; disease control</t>
        </is>
      </c>
      <c r="D7" s="6" t="inlineStr">
        <is>
          <t>日常保養</t>
        </is>
      </c>
      <c r="E7" s="6" t="inlineStr">
        <is>
          <t>株 或 m²</t>
        </is>
      </c>
      <c r="F7" s="6" t="inlineStr">
        <is>
          <t>用藥須記錄藥劑及範圍</t>
        </is>
      </c>
      <c r="G7" s="10" t="inlineStr">
        <is>
          <t>是</t>
        </is>
      </c>
      <c r="H7" s="6" t="inlineStr">
        <is>
          <t>視乎情況</t>
        </is>
      </c>
    </row>
    <row r="8">
      <c r="A8" s="9" t="inlineStr">
        <is>
          <t>INSP</t>
        </is>
      </c>
      <c r="B8" s="9" t="inlineStr">
        <is>
          <t>例行巡查</t>
        </is>
      </c>
      <c r="C8" s="9" t="inlineStr">
        <is>
          <t>Routine inspection</t>
        </is>
      </c>
      <c r="D8" s="9" t="inlineStr">
        <is>
          <t>巡查</t>
        </is>
      </c>
      <c r="E8" s="9" t="inlineStr">
        <is>
          <t>場地／樹組</t>
        </is>
      </c>
      <c r="F8" s="9" t="inlineStr">
        <is>
          <t>一般喬木每年不少於 1 次</t>
        </is>
      </c>
      <c r="G8" s="10" t="inlineStr">
        <is>
          <t>是</t>
        </is>
      </c>
      <c r="H8" s="9" t="inlineStr">
        <is>
          <t>建議</t>
        </is>
      </c>
    </row>
    <row r="9">
      <c r="A9" s="6" t="inlineStr">
        <is>
          <t>TRAM1</t>
        </is>
      </c>
      <c r="B9" s="6" t="inlineStr">
        <is>
          <t>樹組巡查 Form 1</t>
        </is>
      </c>
      <c r="C9" s="6" t="inlineStr">
        <is>
          <t>Tree group inspection</t>
        </is>
      </c>
      <c r="D9" s="6" t="inlineStr">
        <is>
          <t>風險評估</t>
        </is>
      </c>
      <c r="E9" s="6" t="inlineStr">
        <is>
          <t>組</t>
        </is>
      </c>
      <c r="F9" s="6" t="inlineStr">
        <is>
          <t>按 TRAM 周期，高人流車流</t>
        </is>
      </c>
      <c r="G9" s="10" t="inlineStr">
        <is>
          <t>是</t>
        </is>
      </c>
      <c r="H9" s="11" t="inlineStr">
        <is>
          <t>是</t>
        </is>
      </c>
    </row>
    <row r="10">
      <c r="A10" s="9" t="inlineStr">
        <is>
          <t>TRAM2</t>
        </is>
      </c>
      <c r="B10" s="9" t="inlineStr">
        <is>
          <t>單株評估 Form 2</t>
        </is>
      </c>
      <c r="C10" s="9" t="inlineStr">
        <is>
          <t>Individual TRA</t>
        </is>
      </c>
      <c r="D10" s="9" t="inlineStr">
        <is>
          <t>風險評估</t>
        </is>
      </c>
      <c r="E10" s="9" t="inlineStr">
        <is>
          <t>株</t>
        </is>
      </c>
      <c r="F10" s="9" t="inlineStr">
        <is>
          <t>問題樹／緩減後覆查</t>
        </is>
      </c>
      <c r="G10" s="10" t="inlineStr">
        <is>
          <t>是</t>
        </is>
      </c>
      <c r="H10" s="11" t="inlineStr">
        <is>
          <t>是</t>
        </is>
      </c>
    </row>
    <row r="11">
      <c r="A11" s="6" t="inlineStr">
        <is>
          <t>OVT</t>
        </is>
      </c>
      <c r="B11" s="6" t="inlineStr">
        <is>
          <t>古樹名木護理</t>
        </is>
      </c>
      <c r="C11" s="6" t="inlineStr">
        <is>
          <t>OVT special care</t>
        </is>
      </c>
      <c r="D11" s="6" t="inlineStr">
        <is>
          <t>特別護理</t>
        </is>
      </c>
      <c r="E11" s="6" t="inlineStr">
        <is>
          <t>株</t>
        </is>
      </c>
      <c r="F11" s="6" t="inlineStr">
        <is>
          <t>每年詳細檢查不少於 2 次</t>
        </is>
      </c>
      <c r="G11" s="10" t="inlineStr">
        <is>
          <t>是</t>
        </is>
      </c>
      <c r="H11" s="11" t="inlineStr">
        <is>
          <t>是</t>
        </is>
      </c>
    </row>
    <row r="12">
      <c r="A12" s="9" t="inlineStr">
        <is>
          <t>PLANT</t>
        </is>
      </c>
      <c r="B12" s="9" t="inlineStr">
        <is>
          <t>補種／新種</t>
        </is>
      </c>
      <c r="C12" s="9" t="inlineStr">
        <is>
          <t>Replacement / new planting</t>
        </is>
      </c>
      <c r="D12" s="9" t="inlineStr">
        <is>
          <t>工程</t>
        </is>
      </c>
      <c r="E12" s="9" t="inlineStr">
        <is>
          <t>株</t>
        </is>
      </c>
      <c r="F12" s="9" t="inlineStr">
        <is>
          <t>枯死或生長欠佳更換</t>
        </is>
      </c>
      <c r="G12" s="10" t="inlineStr">
        <is>
          <t>是</t>
        </is>
      </c>
      <c r="H12" s="9" t="inlineStr">
        <is>
          <t>否</t>
        </is>
      </c>
    </row>
    <row r="13">
      <c r="A13" s="6" t="inlineStr">
        <is>
          <t>TRANS</t>
        </is>
      </c>
      <c r="B13" s="6" t="inlineStr">
        <is>
          <t>移植</t>
        </is>
      </c>
      <c r="C13" s="6" t="inlineStr">
        <is>
          <t>Transplanting</t>
        </is>
      </c>
      <c r="D13" s="6" t="inlineStr">
        <is>
          <t>工程</t>
        </is>
      </c>
      <c r="E13" s="6" t="inlineStr">
        <is>
          <t>株</t>
        </is>
      </c>
      <c r="F13" s="6" t="inlineStr">
        <is>
          <t>需方法陳述及後續護理</t>
        </is>
      </c>
      <c r="G13" s="10" t="inlineStr">
        <is>
          <t>是</t>
        </is>
      </c>
      <c r="H13" s="11" t="inlineStr">
        <is>
          <t>是</t>
        </is>
      </c>
    </row>
    <row r="14">
      <c r="A14" s="9" t="inlineStr">
        <is>
          <t>RMV</t>
        </is>
      </c>
      <c r="B14" s="9" t="inlineStr">
        <is>
          <t>移除枯樹／危險樹</t>
        </is>
      </c>
      <c r="C14" s="9" t="inlineStr">
        <is>
          <t>Tree removal</t>
        </is>
      </c>
      <c r="D14" s="9" t="inlineStr">
        <is>
          <t>工程</t>
        </is>
      </c>
      <c r="E14" s="9" t="inlineStr">
        <is>
          <t>株</t>
        </is>
      </c>
      <c r="F14" s="9" t="inlineStr">
        <is>
          <t>須按指引及批准</t>
        </is>
      </c>
      <c r="G14" s="10" t="inlineStr">
        <is>
          <t>是</t>
        </is>
      </c>
      <c r="H14" s="11" t="inlineStr">
        <is>
          <t>是</t>
        </is>
      </c>
    </row>
    <row r="15">
      <c r="A15" s="6" t="inlineStr">
        <is>
          <t>TYPH</t>
        </is>
      </c>
      <c r="B15" s="6" t="inlineStr">
        <is>
          <t>颱風／惡劣天氣後清理</t>
        </is>
      </c>
      <c r="C15" s="6" t="inlineStr">
        <is>
          <t>Post-typhoon clearance</t>
        </is>
      </c>
      <c r="D15" s="6" t="inlineStr">
        <is>
          <t>應急</t>
        </is>
      </c>
      <c r="E15" s="6" t="inlineStr">
        <is>
          <t>宗／株</t>
        </is>
      </c>
      <c r="F15" s="6" t="inlineStr">
        <is>
          <t>24 小時內列出受影響工單</t>
        </is>
      </c>
      <c r="G15" s="10" t="inlineStr">
        <is>
          <t>是</t>
        </is>
      </c>
      <c r="H15" s="6" t="inlineStr">
        <is>
          <t>視乎情況</t>
        </is>
      </c>
    </row>
    <row r="16">
      <c r="A16" s="9" t="inlineStr">
        <is>
          <t>COMP</t>
        </is>
      </c>
      <c r="B16" s="9" t="inlineStr">
        <is>
          <t>投訴／轉介跟進</t>
        </is>
      </c>
      <c r="C16" s="9" t="inlineStr">
        <is>
          <t>Complaint follow-up</t>
        </is>
      </c>
      <c r="D16" s="9" t="inlineStr">
        <is>
          <t>應急</t>
        </is>
      </c>
      <c r="E16" s="9" t="inlineStr">
        <is>
          <t>宗</t>
        </is>
      </c>
      <c r="F16" s="9" t="inlineStr">
        <is>
          <t>1823 或場地轉介；附位置及相片</t>
        </is>
      </c>
      <c r="G16" s="10" t="inlineStr">
        <is>
          <t>是</t>
        </is>
      </c>
      <c r="H16" s="9" t="inlineStr">
        <is>
          <t>視乎情況</t>
        </is>
      </c>
    </row>
    <row r="17">
      <c r="A17" s="6" t="inlineStr">
        <is>
          <t>SAFE</t>
        </is>
      </c>
      <c r="B17" s="6" t="inlineStr">
        <is>
          <t>安全檢查／開工前</t>
        </is>
      </c>
      <c r="C17" s="6" t="inlineStr">
        <is>
          <t>Pre-work safety check</t>
        </is>
      </c>
      <c r="D17" s="6" t="inlineStr">
        <is>
          <t>安全</t>
        </is>
      </c>
      <c r="E17" s="6" t="inlineStr">
        <is>
          <t>次</t>
        </is>
      </c>
      <c r="F17" s="6" t="inlineStr">
        <is>
          <t>高空、鏈鋸、交通管制</t>
        </is>
      </c>
      <c r="G17" s="6" t="inlineStr">
        <is>
          <t>否</t>
        </is>
      </c>
      <c r="H17" s="11" t="inlineStr">
        <is>
          <t>是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2" customWidth="1" min="6" max="6"/>
    <col width="10" customWidth="1" min="7" max="7"/>
    <col width="28" customWidth="1" min="8" max="8"/>
  </cols>
  <sheetData>
    <row r="1">
      <c r="A1" s="8" t="inlineStr">
        <is>
          <t>場地編號</t>
        </is>
      </c>
      <c r="B1" s="8" t="inlineStr">
        <is>
          <t>場地名稱</t>
        </is>
      </c>
      <c r="C1" s="8" t="inlineStr">
        <is>
          <t>區域</t>
        </is>
      </c>
      <c r="D1" s="8" t="inlineStr">
        <is>
          <t>類型</t>
        </is>
      </c>
      <c r="E1" s="8" t="inlineStr">
        <is>
          <t>康文分區辦事處</t>
        </is>
      </c>
      <c r="F1" s="8" t="inlineStr">
        <is>
          <t>約喬木數</t>
        </is>
      </c>
      <c r="G1" s="8" t="inlineStr">
        <is>
          <t>優先</t>
        </is>
      </c>
      <c r="H1" s="8" t="inlineStr">
        <is>
          <t>備註</t>
        </is>
      </c>
    </row>
    <row r="2">
      <c r="A2" s="6" t="inlineStr">
        <is>
          <t>V-KT-01</t>
        </is>
      </c>
      <c r="B2" s="6" t="inlineStr">
        <is>
          <t>觀塘海濱花園</t>
        </is>
      </c>
      <c r="C2" s="6" t="inlineStr">
        <is>
          <t>九龍東</t>
        </is>
      </c>
      <c r="D2" s="6" t="inlineStr">
        <is>
          <t>公園</t>
        </is>
      </c>
      <c r="E2" s="6" t="inlineStr">
        <is>
          <t>觀塘</t>
        </is>
      </c>
      <c r="F2" s="6" t="inlineStr">
        <is>
          <t>180</t>
        </is>
      </c>
      <c r="G2" s="12" t="inlineStr">
        <is>
          <t>高</t>
        </is>
      </c>
      <c r="H2" s="6" t="inlineStr">
        <is>
          <t>人流高，週末優先巡查</t>
        </is>
      </c>
    </row>
    <row r="3">
      <c r="A3" s="6" t="inlineStr">
        <is>
          <t>V-KT-02</t>
        </is>
      </c>
      <c r="B3" s="6" t="inlineStr">
        <is>
          <t>彩霞道遊樂場</t>
        </is>
      </c>
      <c r="C3" s="6" t="inlineStr">
        <is>
          <t>九龍東</t>
        </is>
      </c>
      <c r="D3" s="6" t="inlineStr">
        <is>
          <t>遊樂場</t>
        </is>
      </c>
      <c r="E3" s="6" t="inlineStr">
        <is>
          <t>觀塘</t>
        </is>
      </c>
      <c r="F3" s="6" t="inlineStr">
        <is>
          <t>45</t>
        </is>
      </c>
      <c r="G3" s="6" t="inlineStr">
        <is>
          <t>中</t>
        </is>
      </c>
      <c r="H3" s="6" t="inlineStr"/>
    </row>
    <row r="4">
      <c r="A4" s="6" t="inlineStr">
        <is>
          <t>V-WTS-01</t>
        </is>
      </c>
      <c r="B4" s="6" t="inlineStr">
        <is>
          <t>摩士公園</t>
        </is>
      </c>
      <c r="C4" s="6" t="inlineStr">
        <is>
          <t>九龍東</t>
        </is>
      </c>
      <c r="D4" s="6" t="inlineStr">
        <is>
          <t>公園</t>
        </is>
      </c>
      <c r="E4" s="6" t="inlineStr">
        <is>
          <t>黃大仙</t>
        </is>
      </c>
      <c r="F4" s="6" t="inlineStr">
        <is>
          <t>320</t>
        </is>
      </c>
      <c r="G4" s="12" t="inlineStr">
        <is>
          <t>高</t>
        </is>
      </c>
      <c r="H4" s="6" t="inlineStr">
        <is>
          <t>含較大喬木群</t>
        </is>
      </c>
    </row>
    <row r="5">
      <c r="A5" s="6" t="inlineStr">
        <is>
          <t>V-SSP-01</t>
        </is>
      </c>
      <c r="B5" s="6" t="inlineStr">
        <is>
          <t>深水埗公園</t>
        </is>
      </c>
      <c r="C5" s="6" t="inlineStr">
        <is>
          <t>九龍西</t>
        </is>
      </c>
      <c r="D5" s="6" t="inlineStr">
        <is>
          <t>公園</t>
        </is>
      </c>
      <c r="E5" s="6" t="inlineStr">
        <is>
          <t>深水埗</t>
        </is>
      </c>
      <c r="F5" s="6" t="inlineStr">
        <is>
          <t>210</t>
        </is>
      </c>
      <c r="G5" s="12" t="inlineStr">
        <is>
          <t>高</t>
        </is>
      </c>
      <c r="H5" s="6" t="inlineStr"/>
    </row>
    <row r="6">
      <c r="A6" s="6" t="inlineStr">
        <is>
          <t>V-SSP-02</t>
        </is>
      </c>
      <c r="B6" s="6" t="inlineStr">
        <is>
          <t>深旺道路旁樹穴</t>
        </is>
      </c>
      <c r="C6" s="6" t="inlineStr">
        <is>
          <t>九龍西</t>
        </is>
      </c>
      <c r="D6" s="6" t="inlineStr">
        <is>
          <t>路旁</t>
        </is>
      </c>
      <c r="E6" s="6" t="inlineStr">
        <is>
          <t>深水埗</t>
        </is>
      </c>
      <c r="F6" s="6" t="inlineStr">
        <is>
          <t>86</t>
        </is>
      </c>
      <c r="G6" s="12" t="inlineStr">
        <is>
          <t>高</t>
        </is>
      </c>
      <c r="H6" s="6" t="inlineStr">
        <is>
          <t>行人路樹穴，每月基本保養</t>
        </is>
      </c>
    </row>
    <row r="7">
      <c r="A7" s="6" t="inlineStr">
        <is>
          <t>V-CW-01</t>
        </is>
      </c>
      <c r="B7" s="6" t="inlineStr">
        <is>
          <t>維多利亞公園</t>
        </is>
      </c>
      <c r="C7" s="6" t="inlineStr">
        <is>
          <t>港島</t>
        </is>
      </c>
      <c r="D7" s="6" t="inlineStr">
        <is>
          <t>公園</t>
        </is>
      </c>
      <c r="E7" s="6" t="inlineStr">
        <is>
          <t>灣仔</t>
        </is>
      </c>
      <c r="F7" s="6" t="inlineStr">
        <is>
          <t>400</t>
        </is>
      </c>
      <c r="G7" s="12" t="inlineStr">
        <is>
          <t>高</t>
        </is>
      </c>
      <c r="H7" s="6" t="inlineStr">
        <is>
          <t>大型場地，需分區工單</t>
        </is>
      </c>
    </row>
    <row r="8">
      <c r="A8" s="6" t="inlineStr">
        <is>
          <t>V-ST-01</t>
        </is>
      </c>
      <c r="B8" s="6" t="inlineStr">
        <is>
          <t>沙田公園</t>
        </is>
      </c>
      <c r="C8" s="6" t="inlineStr">
        <is>
          <t>新界東</t>
        </is>
      </c>
      <c r="D8" s="6" t="inlineStr">
        <is>
          <t>公園</t>
        </is>
      </c>
      <c r="E8" s="6" t="inlineStr">
        <is>
          <t>沙田</t>
        </is>
      </c>
      <c r="F8" s="6" t="inlineStr">
        <is>
          <t>250</t>
        </is>
      </c>
      <c r="G8" s="6" t="inlineStr">
        <is>
          <t>中</t>
        </is>
      </c>
      <c r="H8" s="6" t="inlineStr"/>
    </row>
    <row r="9">
      <c r="A9" s="6" t="inlineStr">
        <is>
          <t>V-TP-01</t>
        </is>
      </c>
      <c r="B9" s="6" t="inlineStr">
        <is>
          <t>大埔海濱公園</t>
        </is>
      </c>
      <c r="C9" s="6" t="inlineStr">
        <is>
          <t>新界東</t>
        </is>
      </c>
      <c r="D9" s="6" t="inlineStr">
        <is>
          <t>公園</t>
        </is>
      </c>
      <c r="E9" s="6" t="inlineStr">
        <is>
          <t>大埔</t>
        </is>
      </c>
      <c r="F9" s="6" t="inlineStr">
        <is>
          <t>190</t>
        </is>
      </c>
      <c r="G9" s="6" t="inlineStr">
        <is>
          <t>中</t>
        </is>
      </c>
      <c r="H9" s="6" t="inlineStr"/>
    </row>
    <row r="10">
      <c r="A10" s="6" t="inlineStr">
        <is>
          <t>V-TW-01</t>
        </is>
      </c>
      <c r="B10" s="6" t="inlineStr">
        <is>
          <t>荃灣公園</t>
        </is>
      </c>
      <c r="C10" s="6" t="inlineStr">
        <is>
          <t>新界西</t>
        </is>
      </c>
      <c r="D10" s="6" t="inlineStr">
        <is>
          <t>公園</t>
        </is>
      </c>
      <c r="E10" s="6" t="inlineStr">
        <is>
          <t>荃灣</t>
        </is>
      </c>
      <c r="F10" s="6" t="inlineStr">
        <is>
          <t>160</t>
        </is>
      </c>
      <c r="G10" s="6" t="inlineStr">
        <is>
          <t>中</t>
        </is>
      </c>
      <c r="H10" s="6" t="inlineStr"/>
    </row>
    <row r="11">
      <c r="A11" s="6" t="inlineStr">
        <is>
          <t>V-YL-01</t>
        </is>
      </c>
      <c r="B11" s="6" t="inlineStr">
        <is>
          <t>天水圍公園</t>
        </is>
      </c>
      <c r="C11" s="6" t="inlineStr">
        <is>
          <t>新界西</t>
        </is>
      </c>
      <c r="D11" s="6" t="inlineStr">
        <is>
          <t>公園</t>
        </is>
      </c>
      <c r="E11" s="6" t="inlineStr">
        <is>
          <t>元朗</t>
        </is>
      </c>
      <c r="F11" s="6" t="inlineStr">
        <is>
          <t>220</t>
        </is>
      </c>
      <c r="G11" s="6" t="inlineStr">
        <is>
          <t>中</t>
        </is>
      </c>
      <c r="H1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8" customWidth="1" min="4" max="4"/>
    <col width="12" customWidth="1" min="5" max="5"/>
    <col width="12" customWidth="1" min="6" max="6"/>
    <col width="16" customWidth="1" min="7" max="7"/>
    <col width="10" customWidth="1" min="8" max="8"/>
  </cols>
  <sheetData>
    <row r="1">
      <c r="A1" s="8" t="inlineStr">
        <is>
          <t>員工編號</t>
        </is>
      </c>
      <c r="B1" s="8" t="inlineStr">
        <is>
          <t>姓名</t>
        </is>
      </c>
      <c r="C1" s="8" t="inlineStr">
        <is>
          <t>職能</t>
        </is>
      </c>
      <c r="D1" s="8" t="inlineStr">
        <is>
          <t>資歷備註</t>
        </is>
      </c>
      <c r="E1" s="8" t="inlineStr">
        <is>
          <t>隊伍</t>
        </is>
      </c>
      <c r="F1" s="8" t="inlineStr">
        <is>
          <t>預設區域</t>
        </is>
      </c>
      <c r="G1" s="8" t="inlineStr">
        <is>
          <t>可高空／鏈鋸</t>
        </is>
      </c>
      <c r="H1" s="8" t="inlineStr">
        <is>
          <t>狀態</t>
        </is>
      </c>
    </row>
    <row r="2">
      <c r="A2" s="6" t="inlineStr">
        <is>
          <t>S001</t>
        </is>
      </c>
      <c r="B2" s="6" t="inlineStr">
        <is>
          <t>陳志強</t>
        </is>
      </c>
      <c r="C2" s="6" t="inlineStr">
        <is>
          <t>組長</t>
        </is>
      </c>
      <c r="D2" s="6" t="inlineStr">
        <is>
          <t>Tree Work Supervisor 登記</t>
        </is>
      </c>
      <c r="E2" s="6" t="inlineStr">
        <is>
          <t>A隊</t>
        </is>
      </c>
      <c r="F2" s="6" t="inlineStr">
        <is>
          <t>九龍東</t>
        </is>
      </c>
      <c r="G2" s="6" t="inlineStr">
        <is>
          <t>是</t>
        </is>
      </c>
      <c r="H2" s="6" t="inlineStr">
        <is>
          <t>在職</t>
        </is>
      </c>
    </row>
    <row r="3">
      <c r="A3" s="6" t="inlineStr">
        <is>
          <t>S002</t>
        </is>
      </c>
      <c r="B3" s="6" t="inlineStr">
        <is>
          <t>李偉明</t>
        </is>
      </c>
      <c r="C3" s="6" t="inlineStr">
        <is>
          <t>攀樹／修剪</t>
        </is>
      </c>
      <c r="D3" s="6" t="inlineStr">
        <is>
          <t>Tree Climber / Chainsaw</t>
        </is>
      </c>
      <c r="E3" s="6" t="inlineStr">
        <is>
          <t>A隊</t>
        </is>
      </c>
      <c r="F3" s="6" t="inlineStr">
        <is>
          <t>九龍東</t>
        </is>
      </c>
      <c r="G3" s="6" t="inlineStr">
        <is>
          <t>是</t>
        </is>
      </c>
      <c r="H3" s="6" t="inlineStr">
        <is>
          <t>在職</t>
        </is>
      </c>
    </row>
    <row r="4">
      <c r="A4" s="6" t="inlineStr">
        <is>
          <t>S003</t>
        </is>
      </c>
      <c r="B4" s="6" t="inlineStr">
        <is>
          <t>黃麗娟</t>
        </is>
      </c>
      <c r="C4" s="6" t="inlineStr">
        <is>
          <t>園藝工</t>
        </is>
      </c>
      <c r="D4" s="6" t="inlineStr">
        <is>
          <t>日常保養</t>
        </is>
      </c>
      <c r="E4" s="6" t="inlineStr">
        <is>
          <t>A隊</t>
        </is>
      </c>
      <c r="F4" s="6" t="inlineStr">
        <is>
          <t>九龍東</t>
        </is>
      </c>
      <c r="G4" s="6" t="inlineStr">
        <is>
          <t>否</t>
        </is>
      </c>
      <c r="H4" s="6" t="inlineStr">
        <is>
          <t>在職</t>
        </is>
      </c>
    </row>
    <row r="5">
      <c r="A5" s="6" t="inlineStr">
        <is>
          <t>S004</t>
        </is>
      </c>
      <c r="B5" s="6" t="inlineStr">
        <is>
          <t>周家傑</t>
        </is>
      </c>
      <c r="C5" s="6" t="inlineStr">
        <is>
          <t>園藝工</t>
        </is>
      </c>
      <c r="D5" s="6" t="inlineStr">
        <is>
          <t>日常保養</t>
        </is>
      </c>
      <c r="E5" s="6" t="inlineStr">
        <is>
          <t>A隊</t>
        </is>
      </c>
      <c r="F5" s="6" t="inlineStr">
        <is>
          <t>九龍東</t>
        </is>
      </c>
      <c r="G5" s="6" t="inlineStr">
        <is>
          <t>否</t>
        </is>
      </c>
      <c r="H5" s="6" t="inlineStr">
        <is>
          <t>在職</t>
        </is>
      </c>
    </row>
    <row r="6">
      <c r="A6" s="6" t="inlineStr">
        <is>
          <t>S005</t>
        </is>
      </c>
      <c r="B6" s="6" t="inlineStr">
        <is>
          <t>張文傑</t>
        </is>
      </c>
      <c r="C6" s="6" t="inlineStr">
        <is>
          <t>組長</t>
        </is>
      </c>
      <c r="D6" s="6" t="inlineStr">
        <is>
          <t>Tree Work Supervisor 登記</t>
        </is>
      </c>
      <c r="E6" s="6" t="inlineStr">
        <is>
          <t>B隊</t>
        </is>
      </c>
      <c r="F6" s="6" t="inlineStr">
        <is>
          <t>九龍西</t>
        </is>
      </c>
      <c r="G6" s="6" t="inlineStr">
        <is>
          <t>是</t>
        </is>
      </c>
      <c r="H6" s="6" t="inlineStr">
        <is>
          <t>在職</t>
        </is>
      </c>
    </row>
    <row r="7">
      <c r="A7" s="6" t="inlineStr">
        <is>
          <t>S006</t>
        </is>
      </c>
      <c r="B7" s="6" t="inlineStr">
        <is>
          <t>林志豪</t>
        </is>
      </c>
      <c r="C7" s="6" t="inlineStr">
        <is>
          <t>攀樹／修剪</t>
        </is>
      </c>
      <c r="D7" s="6" t="inlineStr">
        <is>
          <t>Tree Climber</t>
        </is>
      </c>
      <c r="E7" s="6" t="inlineStr">
        <is>
          <t>B隊</t>
        </is>
      </c>
      <c r="F7" s="6" t="inlineStr">
        <is>
          <t>九龍西</t>
        </is>
      </c>
      <c r="G7" s="6" t="inlineStr">
        <is>
          <t>是</t>
        </is>
      </c>
      <c r="H7" s="6" t="inlineStr">
        <is>
          <t>在職</t>
        </is>
      </c>
    </row>
    <row r="8">
      <c r="A8" s="6" t="inlineStr">
        <is>
          <t>S007</t>
        </is>
      </c>
      <c r="B8" s="6" t="inlineStr">
        <is>
          <t>吳美儀</t>
        </is>
      </c>
      <c r="C8" s="6" t="inlineStr">
        <is>
          <t>園藝工</t>
        </is>
      </c>
      <c r="D8" s="6" t="inlineStr">
        <is>
          <t>日常保養</t>
        </is>
      </c>
      <c r="E8" s="6" t="inlineStr">
        <is>
          <t>B隊</t>
        </is>
      </c>
      <c r="F8" s="6" t="inlineStr">
        <is>
          <t>九龍西</t>
        </is>
      </c>
      <c r="G8" s="6" t="inlineStr">
        <is>
          <t>否</t>
        </is>
      </c>
      <c r="H8" s="6" t="inlineStr">
        <is>
          <t>在職</t>
        </is>
      </c>
    </row>
    <row r="9">
      <c r="A9" s="6" t="inlineStr">
        <is>
          <t>S008</t>
        </is>
      </c>
      <c r="B9" s="6" t="inlineStr">
        <is>
          <t>鄭大文</t>
        </is>
      </c>
      <c r="C9" s="6" t="inlineStr">
        <is>
          <t>巡查助理</t>
        </is>
      </c>
      <c r="D9" s="6" t="inlineStr">
        <is>
          <t>可協助 Form 1 記錄</t>
        </is>
      </c>
      <c r="E9" s="6" t="inlineStr">
        <is>
          <t>巡查組</t>
        </is>
      </c>
      <c r="F9" s="6" t="inlineStr">
        <is>
          <t>跨區</t>
        </is>
      </c>
      <c r="G9" s="6" t="inlineStr">
        <is>
          <t>否</t>
        </is>
      </c>
      <c r="H9" s="6" t="inlineStr">
        <is>
          <t>在職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0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  <col width="16" customWidth="1" min="12" max="12"/>
    <col width="10" customWidth="1" min="13" max="13"/>
    <col width="14" customWidth="1" min="14" max="14"/>
    <col width="10" customWidth="1" min="15" max="15"/>
    <col width="16" customWidth="1" min="16" max="16"/>
  </cols>
  <sheetData>
    <row r="1">
      <c r="A1" s="8" t="inlineStr">
        <is>
          <t>工單號</t>
        </is>
      </c>
      <c r="B1" s="8" t="inlineStr">
        <is>
          <t>日期</t>
        </is>
      </c>
      <c r="C1" s="8" t="inlineStr">
        <is>
          <t>場地編號</t>
        </is>
      </c>
      <c r="D1" s="8" t="inlineStr">
        <is>
          <t>場地</t>
        </is>
      </c>
      <c r="E1" s="8" t="inlineStr">
        <is>
          <t>工種</t>
        </is>
      </c>
      <c r="F1" s="8" t="inlineStr">
        <is>
          <t>目標數量</t>
        </is>
      </c>
      <c r="G1" s="8" t="inlineStr">
        <is>
          <t>單位</t>
        </is>
      </c>
      <c r="H1" s="8" t="inlineStr">
        <is>
          <t>指派隊伍</t>
        </is>
      </c>
      <c r="I1" s="8" t="inlineStr">
        <is>
          <t>限期</t>
        </is>
      </c>
      <c r="J1" s="8" t="inlineStr">
        <is>
          <t>狀態</t>
        </is>
      </c>
      <c r="K1" s="8" t="inlineStr">
        <is>
          <t>打卡時間</t>
        </is>
      </c>
      <c r="L1" s="8" t="inlineStr">
        <is>
          <t>GPS</t>
        </is>
      </c>
      <c r="M1" s="8" t="inlineStr">
        <is>
          <t>完工數量</t>
        </is>
      </c>
      <c r="N1" s="8" t="inlineStr">
        <is>
          <t>阻礙原因</t>
        </is>
      </c>
      <c r="O1" s="8" t="inlineStr">
        <is>
          <t>審核</t>
        </is>
      </c>
      <c r="P1" s="8" t="inlineStr">
        <is>
          <t>審核備註</t>
        </is>
      </c>
    </row>
    <row r="2">
      <c r="A2" s="6" t="inlineStr">
        <is>
          <t>WO-260908-001</t>
        </is>
      </c>
      <c r="B2" s="13" t="n">
        <v>46273</v>
      </c>
      <c r="C2" s="6" t="inlineStr">
        <is>
          <t>V-KT-01</t>
        </is>
      </c>
      <c r="D2" s="6" t="inlineStr">
        <is>
          <t>觀塘海濱花園</t>
        </is>
      </c>
      <c r="E2" s="6" t="inlineStr">
        <is>
          <t>WEED</t>
        </is>
      </c>
      <c r="F2" s="6" t="n">
        <v>1200</v>
      </c>
      <c r="G2" s="6" t="inlineStr">
        <is>
          <t>m²</t>
        </is>
      </c>
      <c r="H2" s="6" t="inlineStr">
        <is>
          <t>A隊</t>
        </is>
      </c>
      <c r="I2" s="13" t="n">
        <v>46273</v>
      </c>
      <c r="J2" s="14" t="inlineStr">
        <is>
          <t>已審核</t>
        </is>
      </c>
      <c r="K2" s="6" t="inlineStr">
        <is>
          <t>08:12</t>
        </is>
      </c>
      <c r="L2" s="6" t="inlineStr">
        <is>
          <t>22.309,114.226</t>
        </is>
      </c>
      <c r="M2" s="6" t="n">
        <v>1200</v>
      </c>
      <c r="N2" s="6" t="inlineStr"/>
      <c r="O2" s="6" t="inlineStr">
        <is>
          <t>通過</t>
        </is>
      </c>
      <c r="P2" s="6" t="inlineStr"/>
    </row>
    <row r="3">
      <c r="A3" s="6" t="inlineStr">
        <is>
          <t>WO-260908-002</t>
        </is>
      </c>
      <c r="B3" s="13" t="n">
        <v>46273</v>
      </c>
      <c r="C3" s="6" t="inlineStr">
        <is>
          <t>V-KT-01</t>
        </is>
      </c>
      <c r="D3" s="6" t="inlineStr">
        <is>
          <t>觀塘海濱花園</t>
        </is>
      </c>
      <c r="E3" s="6" t="inlineStr">
        <is>
          <t>PRN-T</t>
        </is>
      </c>
      <c r="F3" s="6" t="n">
        <v>12</v>
      </c>
      <c r="G3" s="6" t="inlineStr">
        <is>
          <t>株</t>
        </is>
      </c>
      <c r="H3" s="6" t="inlineStr">
        <is>
          <t>A隊</t>
        </is>
      </c>
      <c r="I3" s="13" t="n">
        <v>46273</v>
      </c>
      <c r="J3" s="14" t="inlineStr">
        <is>
          <t>已審核</t>
        </is>
      </c>
      <c r="K3" s="6" t="inlineStr">
        <is>
          <t>09:40</t>
        </is>
      </c>
      <c r="L3" s="6" t="inlineStr">
        <is>
          <t>22.310,114.225</t>
        </is>
      </c>
      <c r="M3" s="6" t="n">
        <v>12</v>
      </c>
      <c r="N3" s="6" t="inlineStr"/>
      <c r="O3" s="6" t="inlineStr">
        <is>
          <t>通過</t>
        </is>
      </c>
      <c r="P3" s="6" t="inlineStr"/>
    </row>
    <row r="4">
      <c r="A4" s="6" t="inlineStr">
        <is>
          <t>WO-260908-003</t>
        </is>
      </c>
      <c r="B4" s="13" t="n">
        <v>46273</v>
      </c>
      <c r="C4" s="6" t="inlineStr">
        <is>
          <t>V-SSP-02</t>
        </is>
      </c>
      <c r="D4" s="6" t="inlineStr">
        <is>
          <t>深旺道路旁樹穴</t>
        </is>
      </c>
      <c r="E4" s="6" t="inlineStr">
        <is>
          <t>WAT</t>
        </is>
      </c>
      <c r="F4" s="6" t="n">
        <v>86</v>
      </c>
      <c r="G4" s="6" t="inlineStr">
        <is>
          <t>株</t>
        </is>
      </c>
      <c r="H4" s="6" t="inlineStr">
        <is>
          <t>B隊</t>
        </is>
      </c>
      <c r="I4" s="13" t="n">
        <v>46273</v>
      </c>
      <c r="J4" s="10" t="inlineStr">
        <is>
          <t>待審核</t>
        </is>
      </c>
      <c r="K4" s="6" t="inlineStr">
        <is>
          <t>10:05</t>
        </is>
      </c>
      <c r="L4" s="6" t="inlineStr">
        <is>
          <t>22.328,114.157</t>
        </is>
      </c>
      <c r="M4" s="6" t="n">
        <v>86</v>
      </c>
      <c r="N4" s="6" t="inlineStr"/>
      <c r="O4" s="6" t="inlineStr">
        <is>
          <t>待審核</t>
        </is>
      </c>
      <c r="P4" s="6" t="inlineStr"/>
    </row>
    <row r="5">
      <c r="A5" s="6" t="inlineStr">
        <is>
          <t>WO-260908-004</t>
        </is>
      </c>
      <c r="B5" s="13" t="n">
        <v>46273</v>
      </c>
      <c r="C5" s="6" t="inlineStr">
        <is>
          <t>V-SSP-01</t>
        </is>
      </c>
      <c r="D5" s="6" t="inlineStr">
        <is>
          <t>深水埗公園</t>
        </is>
      </c>
      <c r="E5" s="6" t="inlineStr">
        <is>
          <t>COMP</t>
        </is>
      </c>
      <c r="F5" s="6" t="n">
        <v>1</v>
      </c>
      <c r="G5" s="6" t="inlineStr">
        <is>
          <t>宗</t>
        </is>
      </c>
      <c r="H5" s="6" t="inlineStr">
        <is>
          <t>B隊</t>
        </is>
      </c>
      <c r="I5" s="13" t="n">
        <v>46273</v>
      </c>
      <c r="J5" s="15" t="inlineStr">
        <is>
          <t>進行中</t>
        </is>
      </c>
      <c r="K5" s="6" t="inlineStr">
        <is>
          <t>11:20</t>
        </is>
      </c>
      <c r="L5" s="6" t="inlineStr">
        <is>
          <t>22.331,114.159</t>
        </is>
      </c>
      <c r="M5" s="6" t="inlineStr"/>
      <c r="N5" s="6" t="inlineStr">
        <is>
          <t>需交通安排</t>
        </is>
      </c>
      <c r="O5" s="6" t="inlineStr"/>
      <c r="P5" s="6" t="inlineStr"/>
    </row>
    <row r="6">
      <c r="A6" s="6" t="inlineStr">
        <is>
          <t>WO-260909-001</t>
        </is>
      </c>
      <c r="B6" s="13" t="n">
        <v>46274</v>
      </c>
      <c r="C6" s="6" t="inlineStr">
        <is>
          <t>V-WTS-01</t>
        </is>
      </c>
      <c r="D6" s="6" t="inlineStr">
        <is>
          <t>摩士公園</t>
        </is>
      </c>
      <c r="E6" s="6" t="inlineStr">
        <is>
          <t>INSP</t>
        </is>
      </c>
      <c r="F6" s="6" t="n">
        <v>1</v>
      </c>
      <c r="G6" s="6" t="inlineStr">
        <is>
          <t>場地</t>
        </is>
      </c>
      <c r="H6" s="6" t="inlineStr">
        <is>
          <t>巡查組</t>
        </is>
      </c>
      <c r="I6" s="13" t="n">
        <v>46274</v>
      </c>
      <c r="J6" s="9" t="inlineStr">
        <is>
          <t>待開工</t>
        </is>
      </c>
      <c r="K6" s="6" t="inlineStr"/>
      <c r="L6" s="6" t="inlineStr"/>
      <c r="M6" s="6" t="inlineStr"/>
      <c r="N6" s="6" t="inlineStr"/>
      <c r="O6" s="6" t="inlineStr"/>
      <c r="P6" s="6" t="inlineStr"/>
    </row>
    <row r="7">
      <c r="A7" s="6" t="inlineStr">
        <is>
          <t>WO-260909-002</t>
        </is>
      </c>
      <c r="B7" s="13" t="n">
        <v>46274</v>
      </c>
      <c r="C7" s="6" t="inlineStr">
        <is>
          <t>V-CW-01</t>
        </is>
      </c>
      <c r="D7" s="6" t="inlineStr">
        <is>
          <t>維多利亞公園</t>
        </is>
      </c>
      <c r="E7" s="6" t="inlineStr">
        <is>
          <t>PRN-S</t>
        </is>
      </c>
      <c r="F7" s="6" t="n">
        <v>800</v>
      </c>
      <c r="G7" s="6" t="inlineStr">
        <is>
          <t>m²</t>
        </is>
      </c>
      <c r="H7" s="6" t="inlineStr">
        <is>
          <t>A隊</t>
        </is>
      </c>
      <c r="I7" s="13" t="n">
        <v>46274</v>
      </c>
      <c r="J7" s="9" t="inlineStr">
        <is>
          <t>待開工</t>
        </is>
      </c>
      <c r="K7" s="6" t="inlineStr"/>
      <c r="L7" s="6" t="inlineStr"/>
      <c r="M7" s="6" t="inlineStr"/>
      <c r="N7" s="6" t="inlineStr"/>
      <c r="O7" s="6" t="inlineStr"/>
      <c r="P7" s="6" t="inlineStr"/>
    </row>
    <row r="8">
      <c r="A8" s="6" t="inlineStr">
        <is>
          <t>WO-260909-003</t>
        </is>
      </c>
      <c r="B8" s="13" t="n">
        <v>46274</v>
      </c>
      <c r="C8" s="6" t="inlineStr">
        <is>
          <t>V-ST-01</t>
        </is>
      </c>
      <c r="D8" s="6" t="inlineStr">
        <is>
          <t>沙田公園</t>
        </is>
      </c>
      <c r="E8" s="6" t="inlineStr">
        <is>
          <t>FERT</t>
        </is>
      </c>
      <c r="F8" s="6" t="n">
        <v>60</v>
      </c>
      <c r="G8" s="6" t="inlineStr">
        <is>
          <t>株</t>
        </is>
      </c>
      <c r="H8" s="6" t="inlineStr">
        <is>
          <t>B隊</t>
        </is>
      </c>
      <c r="I8" s="13" t="n">
        <v>46275</v>
      </c>
      <c r="J8" s="9" t="inlineStr">
        <is>
          <t>待開工</t>
        </is>
      </c>
      <c r="K8" s="6" t="inlineStr"/>
      <c r="L8" s="6" t="inlineStr"/>
      <c r="M8" s="6" t="inlineStr"/>
      <c r="N8" s="6" t="inlineStr"/>
      <c r="O8" s="6" t="inlineStr"/>
      <c r="P8" s="6" t="inlineStr"/>
    </row>
  </sheetData>
  <autoFilter ref="A1: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38F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日期</t>
        </is>
      </c>
      <c r="B1" s="8" t="inlineStr">
        <is>
          <t>隊伍</t>
        </is>
      </c>
      <c r="C1" s="8" t="inlineStr">
        <is>
          <t>工單總數</t>
        </is>
      </c>
      <c r="D1" s="8" t="inlineStr">
        <is>
          <t>已完成</t>
        </is>
      </c>
      <c r="E1" s="8" t="inlineStr">
        <is>
          <t>待審核</t>
        </is>
      </c>
      <c r="F1" s="8" t="inlineStr">
        <is>
          <t>進行中</t>
        </is>
      </c>
      <c r="G1" s="8" t="inlineStr">
        <is>
          <t>待開工</t>
        </is>
      </c>
      <c r="H1" s="8" t="inlineStr">
        <is>
          <t>完成率</t>
        </is>
      </c>
      <c r="I1" s="8" t="inlineStr">
        <is>
          <t>準時率</t>
        </is>
      </c>
    </row>
    <row r="2">
      <c r="A2" s="13" t="n">
        <v>46273</v>
      </c>
      <c r="B2" s="6" t="inlineStr">
        <is>
          <t>A隊</t>
        </is>
      </c>
      <c r="C2" s="6">
        <f>COUNTIFS(工單示範!$B:$B,$A2,工單示範!$H:$H,$B2)</f>
        <v/>
      </c>
      <c r="D2" s="6">
        <f>COUNTIFS(工單示範!$B:$B,$A2,工單示範!$H:$H,$B2,工單示範!$J:$J,"已審核")</f>
        <v/>
      </c>
      <c r="E2" s="6">
        <f>COUNTIFS(工單示範!$B:$B,$A2,工單示範!$H:$H,$B2,工單示範!$J:$J,"待審核")</f>
        <v/>
      </c>
      <c r="F2" s="6">
        <f>COUNTIFS(工單示範!$B:$B,$A2,工單示範!$H:$H,$B2,工單示範!$J:$J,"進行中")</f>
        <v/>
      </c>
      <c r="G2" s="6">
        <f>COUNTIFS(工單示範!$B:$B,$A2,工單示範!$H:$H,$B2,工單示範!$J:$J,"待開工")</f>
        <v/>
      </c>
      <c r="H2" s="16">
        <f>IF(C2=0,"-",D2/C2)</f>
        <v/>
      </c>
      <c r="I2" s="16">
        <f>IF(C2=0,"-",(D2+E2)/C2)</f>
        <v/>
      </c>
    </row>
    <row r="3">
      <c r="A3" s="13" t="n">
        <v>46273</v>
      </c>
      <c r="B3" s="6" t="inlineStr">
        <is>
          <t>B隊</t>
        </is>
      </c>
      <c r="C3" s="6">
        <f>COUNTIFS(工單示範!$B:$B,$A3,工單示範!$H:$H,$B3)</f>
        <v/>
      </c>
      <c r="D3" s="6">
        <f>COUNTIFS(工單示範!$B:$B,$A3,工單示範!$H:$H,$B3,工單示範!$J:$J,"已審核")</f>
        <v/>
      </c>
      <c r="E3" s="6">
        <f>COUNTIFS(工單示範!$B:$B,$A3,工單示範!$H:$H,$B3,工單示範!$J:$J,"待審核")</f>
        <v/>
      </c>
      <c r="F3" s="6">
        <f>COUNTIFS(工單示範!$B:$B,$A3,工單示範!$H:$H,$B3,工單示範!$J:$J,"進行中")</f>
        <v/>
      </c>
      <c r="G3" s="6">
        <f>COUNTIFS(工單示範!$B:$B,$A3,工單示範!$H:$H,$B3,工單示範!$J:$J,"待開工")</f>
        <v/>
      </c>
      <c r="H3" s="16">
        <f>IF(C3=0,"-",D3/C3)</f>
        <v/>
      </c>
      <c r="I3" s="16">
        <f>IF(C3=0,"-",(D3+E3)/C3)</f>
        <v/>
      </c>
    </row>
    <row r="4">
      <c r="A4" s="13" t="n">
        <v>46274</v>
      </c>
      <c r="B4" s="6" t="inlineStr">
        <is>
          <t>A隊</t>
        </is>
      </c>
      <c r="C4" s="6">
        <f>COUNTIFS(工單示範!$B:$B,$A4,工單示範!$H:$H,$B4)</f>
        <v/>
      </c>
      <c r="D4" s="6">
        <f>COUNTIFS(工單示範!$B:$B,$A4,工單示範!$H:$H,$B4,工單示範!$J:$J,"已審核")</f>
        <v/>
      </c>
      <c r="E4" s="6">
        <f>COUNTIFS(工單示範!$B:$B,$A4,工單示範!$H:$H,$B4,工單示範!$J:$J,"待審核")</f>
        <v/>
      </c>
      <c r="F4" s="6">
        <f>COUNTIFS(工單示範!$B:$B,$A4,工單示範!$H:$H,$B4,工單示範!$J:$J,"進行中")</f>
        <v/>
      </c>
      <c r="G4" s="6">
        <f>COUNTIFS(工單示範!$B:$B,$A4,工單示範!$H:$H,$B4,工單示範!$J:$J,"待開工")</f>
        <v/>
      </c>
      <c r="H4" s="16">
        <f>IF(C4=0,"-",D4/C4)</f>
        <v/>
      </c>
      <c r="I4" s="16">
        <f>IF(C4=0,"-",(D4+E4)/C4)</f>
        <v/>
      </c>
    </row>
    <row r="5">
      <c r="A5" s="13" t="n">
        <v>46274</v>
      </c>
      <c r="B5" s="6" t="inlineStr">
        <is>
          <t>B隊</t>
        </is>
      </c>
      <c r="C5" s="6">
        <f>COUNTIFS(工單示範!$B:$B,$A5,工單示範!$H:$H,$B5)</f>
        <v/>
      </c>
      <c r="D5" s="6">
        <f>COUNTIFS(工單示範!$B:$B,$A5,工單示範!$H:$H,$B5,工單示範!$J:$J,"已審核")</f>
        <v/>
      </c>
      <c r="E5" s="6">
        <f>COUNTIFS(工單示範!$B:$B,$A5,工單示範!$H:$H,$B5,工單示範!$J:$J,"待審核")</f>
        <v/>
      </c>
      <c r="F5" s="6">
        <f>COUNTIFS(工單示範!$B:$B,$A5,工單示範!$H:$H,$B5,工單示範!$J:$J,"進行中")</f>
        <v/>
      </c>
      <c r="G5" s="6">
        <f>COUNTIFS(工單示範!$B:$B,$A5,工單示範!$H:$H,$B5,工單示範!$J:$J,"待開工")</f>
        <v/>
      </c>
      <c r="H5" s="16">
        <f>IF(C5=0,"-",D5/C5)</f>
        <v/>
      </c>
      <c r="I5" s="16">
        <f>IF(C5=0,"-",(D5+E5)/C5)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71C1C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</cols>
  <sheetData>
    <row r="1">
      <c r="A1" s="2" t="inlineStr">
        <is>
          <t>康文署合約表現對照（內部監察用）</t>
        </is>
      </c>
    </row>
    <row r="3">
      <c r="A3" s="8" t="inlineStr">
        <is>
          <t>指標</t>
        </is>
      </c>
      <c r="B3" s="8" t="inlineStr">
        <is>
          <t>計算</t>
        </is>
      </c>
      <c r="C3" s="8" t="inlineStr">
        <is>
          <t>目標（建議）</t>
        </is>
      </c>
      <c r="D3" s="8" t="inlineStr">
        <is>
          <t>系統如何取數</t>
        </is>
      </c>
    </row>
    <row r="4" ht="28" customHeight="1">
      <c r="A4" s="9" t="inlineStr">
        <is>
          <t>準時完工率</t>
        </is>
      </c>
      <c r="B4" s="9" t="inlineStr">
        <is>
          <t>限期當日或之前狀態=已審核／待審核</t>
        </is>
      </c>
      <c r="C4" s="9" t="inlineStr">
        <is>
          <t>≥ 95%</t>
        </is>
      </c>
      <c r="D4" s="9" t="inlineStr">
        <is>
          <t>工單.限期 vs 提交時間</t>
        </is>
      </c>
    </row>
    <row r="5" ht="28" customHeight="1">
      <c r="A5" s="6" t="inlineStr">
        <is>
          <t>相片齊全率</t>
        </is>
      </c>
      <c r="B5" s="6" t="inlineStr">
        <is>
          <t>須前後相工種，兩張皆有</t>
        </is>
      </c>
      <c r="C5" s="6" t="inlineStr">
        <is>
          <t>100%（署方要求附相片報告）</t>
        </is>
      </c>
      <c r="D5" s="6" t="inlineStr">
        <is>
          <t>工單相片類型計數</t>
        </is>
      </c>
    </row>
    <row r="6" ht="28" customHeight="1">
      <c r="A6" s="9" t="inlineStr">
        <is>
          <t>被退回重做率</t>
        </is>
      </c>
      <c r="B6" s="9" t="inlineStr">
        <is>
          <t>審核=退回 / 已提交</t>
        </is>
      </c>
      <c r="C6" s="9" t="inlineStr">
        <is>
          <t>≤ 8%</t>
        </is>
      </c>
      <c r="D6" s="9" t="inlineStr">
        <is>
          <t>審核狀態</t>
        </is>
      </c>
    </row>
    <row r="7" ht="28" customHeight="1">
      <c r="A7" s="6" t="inlineStr">
        <is>
          <t>投訴 48 小時現場視察率</t>
        </is>
      </c>
      <c r="B7" s="6" t="inlineStr">
        <is>
          <t>COMP 工種，打卡時間-建立時間</t>
        </is>
      </c>
      <c r="C7" s="6" t="inlineStr">
        <is>
          <t>≥ 98%</t>
        </is>
      </c>
      <c r="D7" s="6" t="inlineStr">
        <is>
          <t>工種=COMP</t>
        </is>
      </c>
    </row>
    <row r="8" ht="28" customHeight="1">
      <c r="A8" s="9" t="inlineStr">
        <is>
          <t>颱風後 24h 工單清冊</t>
        </is>
      </c>
      <c r="B8" s="9" t="inlineStr">
        <is>
          <t>TYPH 建立後 24h 內全部有狀態</t>
        </is>
      </c>
      <c r="C8" s="9" t="inlineStr">
        <is>
          <t>100%</t>
        </is>
      </c>
      <c r="D8" s="9" t="inlineStr">
        <is>
          <t>工種=TYPH</t>
        </is>
      </c>
    </row>
    <row r="9" ht="28" customHeight="1">
      <c r="A9" s="6" t="inlineStr">
        <is>
          <t>OVT 按期巡查</t>
        </is>
      </c>
      <c r="B9" s="6" t="inlineStr">
        <is>
          <t>OVT 工種對年度計劃</t>
        </is>
      </c>
      <c r="C9" s="6" t="inlineStr">
        <is>
          <t>每年 ≥ 2 次詳細檢查</t>
        </is>
      </c>
      <c r="D9" s="6" t="inlineStr">
        <is>
          <t>場地／樹編號週期</t>
        </is>
      </c>
    </row>
    <row r="10" ht="28" customHeight="1">
      <c r="A10" s="9" t="inlineStr">
        <is>
          <t>安全開工前檢查</t>
        </is>
      </c>
      <c r="B10" s="9" t="inlineStr">
        <is>
          <t>高風險工種提交前有 SAFE</t>
        </is>
      </c>
      <c r="C10" s="9" t="inlineStr">
        <is>
          <t>100%</t>
        </is>
      </c>
      <c r="D10" s="9" t="inlineStr">
        <is>
          <t>工種 PRN-T / RMV / TRANS</t>
        </is>
      </c>
    </row>
    <row r="11" ht="28" customHeight="1">
      <c r="A11" s="6" t="inlineStr">
        <is>
          <t>GPS 打卡覆蓋</t>
        </is>
      </c>
      <c r="B11" s="6" t="inlineStr">
        <is>
          <t>有座標的已開工單</t>
        </is>
      </c>
      <c r="C11" s="6" t="inlineStr">
        <is>
          <t>≥ 90%（室內場地可豁免）</t>
        </is>
      </c>
      <c r="D11" s="6" t="inlineStr">
        <is>
          <t>打卡 GPS 非空</t>
        </is>
      </c>
    </row>
    <row r="14">
      <c r="A14" s="2" t="inlineStr">
        <is>
          <t>與署方工具的關係</t>
        </is>
      </c>
    </row>
    <row r="15" ht="40" customHeight="1">
      <c r="A15" s="3" t="inlineStr">
        <is>
          <t>康文署場地管理人每月評核承辦商；失責可發勸諭、失責通知書及扣月費。本平台不取代署方系統，只令公司提交「附相片工作報告」時有完整時間、位置、前後對比，減少被指工作未完成或品質不符。</t>
        </is>
      </c>
    </row>
    <row r="16"/>
    <row r="17"/>
  </sheetData>
  <mergeCells count="2">
    <mergeCell ref="A1:D1"/>
    <mergeCell ref="A15:D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74F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8" customWidth="1" min="4" max="4"/>
  </cols>
  <sheetData>
    <row r="1">
      <c r="A1" s="8" t="inlineStr">
        <is>
          <t>欄位</t>
        </is>
      </c>
      <c r="B1" s="8" t="inlineStr">
        <is>
          <t>必填</t>
        </is>
      </c>
      <c r="C1" s="8" t="inlineStr">
        <is>
          <t>來源</t>
        </is>
      </c>
      <c r="D1" s="8" t="inlineStr">
        <is>
          <t>匯出用途</t>
        </is>
      </c>
    </row>
    <row r="2">
      <c r="A2" s="6" t="inlineStr">
        <is>
          <t>工單號</t>
        </is>
      </c>
      <c r="B2" s="10" t="inlineStr">
        <is>
          <t>是</t>
        </is>
      </c>
      <c r="C2" s="6" t="inlineStr">
        <is>
          <t>系統流水</t>
        </is>
      </c>
      <c r="D2" s="6" t="inlineStr">
        <is>
          <t>對內追蹤</t>
        </is>
      </c>
    </row>
    <row r="3">
      <c r="A3" s="6" t="inlineStr">
        <is>
          <t>合約編號</t>
        </is>
      </c>
      <c r="B3" s="10" t="inlineStr">
        <is>
          <t>是</t>
        </is>
      </c>
      <c r="C3" s="6" t="inlineStr">
        <is>
          <t>行政設定</t>
        </is>
      </c>
      <c r="D3" s="6" t="inlineStr">
        <is>
          <t>對標書／月報</t>
        </is>
      </c>
    </row>
    <row r="4">
      <c r="A4" s="6" t="inlineStr">
        <is>
          <t>場地名稱及編號</t>
        </is>
      </c>
      <c r="B4" s="10" t="inlineStr">
        <is>
          <t>是</t>
        </is>
      </c>
      <c r="C4" s="6" t="inlineStr">
        <is>
          <t>場地表</t>
        </is>
      </c>
      <c r="D4" s="6" t="inlineStr">
        <is>
          <t>署方場地對帳</t>
        </is>
      </c>
    </row>
    <row r="5">
      <c r="A5" s="6" t="inlineStr">
        <is>
          <t>工作日期</t>
        </is>
      </c>
      <c r="B5" s="10" t="inlineStr">
        <is>
          <t>是</t>
        </is>
      </c>
      <c r="C5" s="6" t="inlineStr">
        <is>
          <t>工單</t>
        </is>
      </c>
      <c r="D5" s="6" t="inlineStr">
        <is>
          <t>月報</t>
        </is>
      </c>
    </row>
    <row r="6">
      <c r="A6" s="6" t="inlineStr">
        <is>
          <t>工種代碼及名稱</t>
        </is>
      </c>
      <c r="B6" s="10" t="inlineStr">
        <is>
          <t>是</t>
        </is>
      </c>
      <c r="C6" s="6" t="inlineStr">
        <is>
          <t>工種表</t>
        </is>
      </c>
      <c r="D6" s="6" t="inlineStr">
        <is>
          <t>數量分項</t>
        </is>
      </c>
    </row>
    <row r="7">
      <c r="A7" s="6" t="inlineStr">
        <is>
          <t>目標／實際數量及單位</t>
        </is>
      </c>
      <c r="B7" s="10" t="inlineStr">
        <is>
          <t>是</t>
        </is>
      </c>
      <c r="C7" s="6" t="inlineStr">
        <is>
          <t>工單＋完工</t>
        </is>
      </c>
      <c r="D7" s="6" t="inlineStr">
        <is>
          <t>計量及扣減爭議</t>
        </is>
      </c>
    </row>
    <row r="8">
      <c r="A8" s="6" t="inlineStr">
        <is>
          <t>隊伍／人員</t>
        </is>
      </c>
      <c r="B8" s="10" t="inlineStr">
        <is>
          <t>是</t>
        </is>
      </c>
      <c r="C8" s="6" t="inlineStr">
        <is>
          <t>隊伍表</t>
        </is>
      </c>
      <c r="D8" s="6" t="inlineStr">
        <is>
          <t>人手比例、表現</t>
        </is>
      </c>
    </row>
    <row r="9">
      <c r="A9" s="6" t="inlineStr">
        <is>
          <t>打卡時間及 GPS</t>
        </is>
      </c>
      <c r="B9" s="6" t="inlineStr">
        <is>
          <t>是（外勤）</t>
        </is>
      </c>
      <c r="C9" s="6" t="inlineStr">
        <is>
          <t>手機</t>
        </is>
      </c>
      <c r="D9" s="6" t="inlineStr">
        <is>
          <t>證明到場</t>
        </is>
      </c>
    </row>
    <row r="10">
      <c r="A10" s="6" t="inlineStr">
        <is>
          <t>施工前相片</t>
        </is>
      </c>
      <c r="B10" s="6" t="inlineStr">
        <is>
          <t>視工種</t>
        </is>
      </c>
      <c r="C10" s="6" t="inlineStr">
        <is>
          <t>手機</t>
        </is>
      </c>
      <c r="D10" s="6" t="inlineStr">
        <is>
          <t>署方工作報告</t>
        </is>
      </c>
    </row>
    <row r="11">
      <c r="A11" s="6" t="inlineStr">
        <is>
          <t>施工後相片</t>
        </is>
      </c>
      <c r="B11" s="6" t="inlineStr">
        <is>
          <t>視工種</t>
        </is>
      </c>
      <c r="C11" s="6" t="inlineStr">
        <is>
          <t>手機</t>
        </is>
      </c>
      <c r="D11" s="6" t="inlineStr">
        <is>
          <t>署方工作報告</t>
        </is>
      </c>
    </row>
    <row r="12">
      <c r="A12" s="6" t="inlineStr">
        <is>
          <t>阻礙／天氣原因</t>
        </is>
      </c>
      <c r="B12" s="6" t="inlineStr">
        <is>
          <t>否</t>
        </is>
      </c>
      <c r="C12" s="6" t="inlineStr">
        <is>
          <t>完工表</t>
        </is>
      </c>
      <c r="D12" s="6" t="inlineStr">
        <is>
          <t>解釋延誤，減失責風險</t>
        </is>
      </c>
    </row>
    <row r="13">
      <c r="A13" s="6" t="inlineStr">
        <is>
          <t>組長審核結果及時間</t>
        </is>
      </c>
      <c r="B13" s="10" t="inlineStr">
        <is>
          <t>是</t>
        </is>
      </c>
      <c r="C13" s="6" t="inlineStr">
        <is>
          <t>組長 App</t>
        </is>
      </c>
      <c r="D13" s="6" t="inlineStr">
        <is>
          <t>內部 QC</t>
        </is>
      </c>
    </row>
    <row r="14">
      <c r="A14" s="6" t="inlineStr">
        <is>
          <t>裝置型號／提交來源</t>
        </is>
      </c>
      <c r="B14" s="6" t="inlineStr">
        <is>
          <t>否</t>
        </is>
      </c>
      <c r="C14" s="6" t="inlineStr">
        <is>
          <t>系統</t>
        </is>
      </c>
      <c r="D14" s="6" t="inlineStr">
        <is>
          <t>防爭議審計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2026-09-09T04:35:41Z</dcterms:created>
  <dcterms:modified xmlns:dcterms="http://purl.org/dc/terms/" xmlns:xsi="http://www.w3.org/2001/XMLSchema-instance" xsi:type="dcterms:W3CDTF">2026-09-09T04:35:41Z</dcterms:modified>
</cp:coreProperties>
</file>